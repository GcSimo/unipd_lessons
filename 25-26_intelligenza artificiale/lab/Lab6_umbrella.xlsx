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ing D2" sheetId="1" r:id="rId4"/>
    <sheet state="visible" name=" Smoothing D1" sheetId="2" r:id="rId5"/>
  </sheets>
  <definedNames/>
  <calcPr/>
  <extLst>
    <ext uri="GoogleSheetsCustomDataVersion2">
      <go:sheetsCustomData xmlns:go="http://customooxmlschemas.google.com/" r:id="rId6" roundtripDataChecksum="jpoVsMXUeAcvzf5hNgqOp5PJGSzC38cOLI4/6qiUhKY="/>
    </ext>
  </extLst>
</workbook>
</file>

<file path=xl/sharedStrings.xml><?xml version="1.0" encoding="utf-8"?>
<sst xmlns="http://schemas.openxmlformats.org/spreadsheetml/2006/main" count="92" uniqueCount="34">
  <si>
    <t>CPTs</t>
  </si>
  <si>
    <t>Filtering model</t>
  </si>
  <si>
    <t>transition model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</si>
  <si>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</si>
  <si>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</si>
  <si>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</si>
  <si>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</si>
  <si>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</si>
  <si>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</si>
  <si>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</si>
  <si>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</si>
  <si>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</si>
  <si>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</si>
  <si>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</si>
  <si>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rain_t</t>
  </si>
  <si>
    <t>rain_{t-1}</t>
  </si>
  <si>
    <t xml:space="preserve">rain </t>
  </si>
  <si>
    <t>not rain</t>
  </si>
  <si>
    <t>rain</t>
  </si>
  <si>
    <t>evidence</t>
  </si>
  <si>
    <t>umbrella</t>
  </si>
  <si>
    <t>filetring model</t>
  </si>
  <si>
    <t>not umbrella</t>
  </si>
  <si>
    <t>umbrella_t</t>
  </si>
  <si>
    <t>raw</t>
  </si>
  <si>
    <t>normalized</t>
  </si>
  <si>
    <r>
      <rPr>
        <rFont val="Arial"/>
        <b/>
        <color theme="1"/>
        <sz val="15.0"/>
      </rPr>
      <t>Data summar</t>
    </r>
    <r>
      <rPr>
        <rFont val="Arial"/>
        <b/>
        <color theme="1"/>
        <sz val="15.0"/>
      </rPr>
      <t>y</t>
    </r>
  </si>
  <si>
    <t>day</t>
  </si>
  <si>
    <t>not_rain</t>
  </si>
  <si>
    <t>Prediction</t>
  </si>
  <si>
    <t>Filtered/Forward</t>
  </si>
  <si>
    <t>Smoothed</t>
  </si>
  <si>
    <t xml:space="preserve">raw </t>
  </si>
  <si>
    <t>Backward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</si>
</sst>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4" xfId="0" applyAlignment="1" applyFont="1" applyNumberFormat="1">
      <alignment horizontal="center"/>
    </xf>
    <xf borderId="0" fillId="0" fontId="4" numFmtId="164" xfId="0" applyFont="1" applyNumberFormat="1"/>
    <xf borderId="0" fillId="0" fontId="6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Probabilità di rain e not_rain in funzione del tempo (day)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'Filtering D2'!$C$23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5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'Filtering D2'!$B$24:$B$34</c:f>
            </c:strRef>
          </c:cat>
          <c:val>
            <c:numRef>
              <c:f>'Filtering D2'!$C$24:$C$34</c:f>
              <c:numCache/>
            </c:numRef>
          </c:val>
          <c:smooth val="0"/>
        </c:ser>
        <c:ser>
          <c:idx val="1"/>
          <c:order val="1"/>
          <c:tx>
            <c:strRef>
              <c:f>'Filtering D2'!$D$23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'Filtering D2'!$B$24:$B$34</c:f>
            </c:strRef>
          </c:cat>
          <c:val>
            <c:numRef>
              <c:f>'Filtering D2'!$D$24:$D$34</c:f>
              <c:numCache/>
            </c:numRef>
          </c:val>
          <c:smooth val="0"/>
        </c:ser>
        <c:axId val="212976632"/>
        <c:axId val="1508048491"/>
      </c:lineChart>
      <c:catAx>
        <c:axId val="212976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048491"/>
      </c:catAx>
      <c:valAx>
        <c:axId val="1508048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probabilità di rain e not_rain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76632"/>
        <c:maj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476250</xdr:colOff>
      <xdr:row>19</xdr:row>
      <xdr:rowOff>9525</xdr:rowOff>
    </xdr:from>
    <xdr:ext cx="8486775" cy="2667000"/>
    <xdr:graphicFrame>
      <xdr:nvGraphicFramePr>
        <xdr:cNvPr id="1283780964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4" width="10.13"/>
  </cols>
  <sheetData>
    <row r="1" ht="12.75" customHeight="1"/>
    <row r="2" ht="12.75" customHeight="1">
      <c r="B2" s="1" t="s">
        <v>0</v>
      </c>
      <c r="F2" s="1" t="s">
        <v>1</v>
      </c>
    </row>
    <row r="3" ht="12.75" customHeight="1"/>
    <row r="4" ht="12.75" customHeight="1">
      <c r="T4" s="2"/>
    </row>
    <row r="5" ht="12.75" customHeight="1">
      <c r="B5" s="3" t="s">
        <v>2</v>
      </c>
      <c r="F5" s="4"/>
      <c r="G5" s="4"/>
      <c r="H5" s="5" t="s">
        <v>3</v>
      </c>
      <c r="I5" s="5" t="s">
        <v>4</v>
      </c>
      <c r="J5" s="5" t="s">
        <v>5</v>
      </c>
      <c r="K5" s="5" t="s">
        <v>6</v>
      </c>
      <c r="L5" s="5" t="s">
        <v>7</v>
      </c>
      <c r="M5" s="5" t="s">
        <v>8</v>
      </c>
      <c r="N5" s="5" t="s">
        <v>9</v>
      </c>
      <c r="O5" s="5" t="s">
        <v>10</v>
      </c>
      <c r="P5" s="5" t="s">
        <v>11</v>
      </c>
      <c r="Q5" s="5" t="s">
        <v>12</v>
      </c>
      <c r="R5" s="5" t="s">
        <v>13</v>
      </c>
    </row>
    <row r="6" ht="12.75" customHeight="1">
      <c r="B6" s="4"/>
      <c r="C6" s="6" t="s">
        <v>14</v>
      </c>
      <c r="F6" s="4"/>
      <c r="G6" s="4"/>
      <c r="H6" s="7"/>
      <c r="I6" s="7"/>
      <c r="J6" s="7"/>
      <c r="K6" s="4"/>
      <c r="L6" s="4"/>
      <c r="M6" s="4"/>
      <c r="N6" s="4"/>
      <c r="O6" s="4"/>
      <c r="P6" s="4"/>
      <c r="Q6" s="4"/>
      <c r="R6" s="4"/>
    </row>
    <row r="7" ht="12.75" customHeight="1">
      <c r="B7" s="6" t="s">
        <v>15</v>
      </c>
      <c r="C7" s="6" t="s">
        <v>16</v>
      </c>
      <c r="D7" s="6" t="s">
        <v>17</v>
      </c>
      <c r="F7" s="8" t="s">
        <v>2</v>
      </c>
      <c r="G7" s="9" t="s">
        <v>18</v>
      </c>
      <c r="H7" s="10">
        <v>1.0</v>
      </c>
      <c r="I7" s="7">
        <f>$C$8*H7+$C$9*H8</f>
        <v>0.7</v>
      </c>
      <c r="J7" s="11">
        <f t="shared" ref="J7:R7" si="1">$C$8*I17+$C$9*I18</f>
        <v>0.6652173913</v>
      </c>
      <c r="K7" s="11">
        <f t="shared" si="1"/>
        <v>0.6597648596</v>
      </c>
      <c r="L7" s="11">
        <f t="shared" si="1"/>
        <v>0.3780406776</v>
      </c>
      <c r="M7" s="11">
        <f t="shared" si="1"/>
        <v>0.328245109</v>
      </c>
      <c r="N7" s="11">
        <f t="shared" si="1"/>
        <v>0.3230255172</v>
      </c>
      <c r="O7" s="11">
        <f t="shared" si="1"/>
        <v>0.5729038056</v>
      </c>
      <c r="P7" s="11">
        <f t="shared" si="1"/>
        <v>0.6431516828</v>
      </c>
      <c r="Q7" s="11">
        <f t="shared" si="1"/>
        <v>0.6560941339</v>
      </c>
      <c r="R7" s="11">
        <f t="shared" si="1"/>
        <v>0.3770212458</v>
      </c>
    </row>
    <row r="8" ht="12.75" customHeight="1">
      <c r="B8" s="6" t="s">
        <v>18</v>
      </c>
      <c r="C8" s="7">
        <v>0.7</v>
      </c>
      <c r="D8" s="7">
        <f t="shared" ref="D8:D9" si="3">1-C8</f>
        <v>0.3</v>
      </c>
      <c r="G8" s="9" t="s">
        <v>17</v>
      </c>
      <c r="H8" s="7">
        <f>1-H7</f>
        <v>0</v>
      </c>
      <c r="I8" s="7">
        <f>$D$8*H7+$D$9*H8</f>
        <v>0.3</v>
      </c>
      <c r="J8" s="11">
        <f t="shared" ref="J8:R8" si="2">$D$8*I17+$D$9*I18</f>
        <v>0.3347826087</v>
      </c>
      <c r="K8" s="11">
        <f t="shared" si="2"/>
        <v>0.3402351404</v>
      </c>
      <c r="L8" s="11">
        <f t="shared" si="2"/>
        <v>0.6219593224</v>
      </c>
      <c r="M8" s="11">
        <f t="shared" si="2"/>
        <v>0.671754891</v>
      </c>
      <c r="N8" s="11">
        <f t="shared" si="2"/>
        <v>0.6769744828</v>
      </c>
      <c r="O8" s="11">
        <f t="shared" si="2"/>
        <v>0.4270961944</v>
      </c>
      <c r="P8" s="11">
        <f t="shared" si="2"/>
        <v>0.3568483172</v>
      </c>
      <c r="Q8" s="11">
        <f t="shared" si="2"/>
        <v>0.3439058661</v>
      </c>
      <c r="R8" s="11">
        <f t="shared" si="2"/>
        <v>0.6229787542</v>
      </c>
    </row>
    <row r="9" ht="12.75" customHeight="1">
      <c r="B9" s="6" t="s">
        <v>17</v>
      </c>
      <c r="C9" s="7">
        <v>0.30000000000000004</v>
      </c>
      <c r="D9" s="7">
        <f t="shared" si="3"/>
        <v>0.7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12.75" customHeight="1">
      <c r="F10" s="12" t="s">
        <v>19</v>
      </c>
      <c r="G10" s="9" t="s">
        <v>20</v>
      </c>
      <c r="H10" s="4"/>
      <c r="I10" s="10">
        <v>1.0</v>
      </c>
      <c r="J10" s="13">
        <v>1.0</v>
      </c>
      <c r="K10" s="14">
        <v>0.0</v>
      </c>
      <c r="L10" s="14">
        <v>0.0</v>
      </c>
      <c r="M10" s="14">
        <v>0.0</v>
      </c>
      <c r="N10" s="14">
        <v>1.0</v>
      </c>
      <c r="O10" s="14">
        <v>1.0</v>
      </c>
      <c r="P10" s="14">
        <v>1.0</v>
      </c>
      <c r="Q10" s="14">
        <v>0.0</v>
      </c>
      <c r="R10" s="14">
        <v>0.0</v>
      </c>
    </row>
    <row r="11" ht="12.75" customHeight="1">
      <c r="B11" s="12" t="s">
        <v>21</v>
      </c>
      <c r="G11" s="9" t="s">
        <v>22</v>
      </c>
      <c r="H11" s="4"/>
      <c r="I11" s="7">
        <f t="shared" ref="I11:R11" si="4">ABS(I10-1)</f>
        <v>0</v>
      </c>
      <c r="J11" s="7">
        <f t="shared" si="4"/>
        <v>0</v>
      </c>
      <c r="K11" s="7">
        <f t="shared" si="4"/>
        <v>1</v>
      </c>
      <c r="L11" s="7">
        <f t="shared" si="4"/>
        <v>1</v>
      </c>
      <c r="M11" s="7">
        <f t="shared" si="4"/>
        <v>1</v>
      </c>
      <c r="N11" s="7">
        <f t="shared" si="4"/>
        <v>0</v>
      </c>
      <c r="O11" s="7">
        <f t="shared" si="4"/>
        <v>0</v>
      </c>
      <c r="P11" s="7">
        <f t="shared" si="4"/>
        <v>0</v>
      </c>
      <c r="Q11" s="7">
        <f t="shared" si="4"/>
        <v>1</v>
      </c>
      <c r="R11" s="7">
        <f t="shared" si="4"/>
        <v>1</v>
      </c>
    </row>
    <row r="12" ht="12.75" customHeight="1">
      <c r="B12" s="4"/>
      <c r="C12" s="6" t="s">
        <v>23</v>
      </c>
      <c r="T12" s="2"/>
    </row>
    <row r="13" ht="12.75" customHeight="1">
      <c r="B13" s="6" t="s">
        <v>14</v>
      </c>
      <c r="C13" s="6" t="s">
        <v>20</v>
      </c>
      <c r="D13" s="6" t="s">
        <v>22</v>
      </c>
      <c r="F13" s="9" t="s">
        <v>24</v>
      </c>
      <c r="G13" s="9" t="s">
        <v>18</v>
      </c>
      <c r="H13" s="4"/>
      <c r="I13" s="11">
        <f t="shared" ref="I13:R13" si="5">$C$14*I7*I10+$D$14*I7*I11</f>
        <v>0.63</v>
      </c>
      <c r="J13" s="11">
        <f t="shared" si="5"/>
        <v>0.5986956522</v>
      </c>
      <c r="K13" s="11">
        <f t="shared" si="5"/>
        <v>0.06597648596</v>
      </c>
      <c r="L13" s="11">
        <f t="shared" si="5"/>
        <v>0.03780406776</v>
      </c>
      <c r="M13" s="11">
        <f t="shared" si="5"/>
        <v>0.0328245109</v>
      </c>
      <c r="N13" s="11">
        <f t="shared" si="5"/>
        <v>0.2907229655</v>
      </c>
      <c r="O13" s="11">
        <f t="shared" si="5"/>
        <v>0.515613425</v>
      </c>
      <c r="P13" s="11">
        <f t="shared" si="5"/>
        <v>0.5788365145</v>
      </c>
      <c r="Q13" s="11">
        <f t="shared" si="5"/>
        <v>0.06560941339</v>
      </c>
      <c r="R13" s="11">
        <f t="shared" si="5"/>
        <v>0.03770212458</v>
      </c>
    </row>
    <row r="14" ht="12.75" customHeight="1">
      <c r="B14" s="6" t="s">
        <v>18</v>
      </c>
      <c r="C14" s="7">
        <v>0.9</v>
      </c>
      <c r="D14" s="7">
        <f t="shared" ref="D14:D15" si="7">1-C14</f>
        <v>0.1</v>
      </c>
      <c r="G14" s="9" t="s">
        <v>17</v>
      </c>
      <c r="H14" s="4"/>
      <c r="I14" s="11">
        <f t="shared" ref="I14:R14" si="6">$C$15*I8*I10+$D$15*I8*I11</f>
        <v>0.06</v>
      </c>
      <c r="J14" s="11">
        <f t="shared" si="6"/>
        <v>0.06695652174</v>
      </c>
      <c r="K14" s="11">
        <f t="shared" si="6"/>
        <v>0.2721881123</v>
      </c>
      <c r="L14" s="11">
        <f t="shared" si="6"/>
        <v>0.4975674579</v>
      </c>
      <c r="M14" s="11">
        <f t="shared" si="6"/>
        <v>0.5374039128</v>
      </c>
      <c r="N14" s="11">
        <f t="shared" si="6"/>
        <v>0.1353948966</v>
      </c>
      <c r="O14" s="11">
        <f t="shared" si="6"/>
        <v>0.08541923888</v>
      </c>
      <c r="P14" s="11">
        <f t="shared" si="6"/>
        <v>0.07136966345</v>
      </c>
      <c r="Q14" s="11">
        <f t="shared" si="6"/>
        <v>0.2751246929</v>
      </c>
      <c r="R14" s="11">
        <f t="shared" si="6"/>
        <v>0.4983830033</v>
      </c>
    </row>
    <row r="15" ht="12.75" customHeight="1">
      <c r="B15" s="6" t="s">
        <v>17</v>
      </c>
      <c r="C15" s="7">
        <v>0.2</v>
      </c>
      <c r="D15" s="7">
        <f t="shared" si="7"/>
        <v>0.8</v>
      </c>
    </row>
    <row r="16" ht="12.75" customHeight="1"/>
    <row r="17" ht="12.75" customHeight="1">
      <c r="F17" s="9" t="s">
        <v>25</v>
      </c>
      <c r="G17" s="9" t="s">
        <v>18</v>
      </c>
      <c r="H17" s="4"/>
      <c r="I17" s="11">
        <f t="shared" ref="I17:R17" si="8">I13/(I13+I14)</f>
        <v>0.9130434783</v>
      </c>
      <c r="J17" s="11">
        <f t="shared" si="8"/>
        <v>0.8994121489</v>
      </c>
      <c r="K17" s="11">
        <f t="shared" si="8"/>
        <v>0.1951016939</v>
      </c>
      <c r="L17" s="11">
        <f t="shared" si="8"/>
        <v>0.07061277252</v>
      </c>
      <c r="M17" s="11">
        <f t="shared" si="8"/>
        <v>0.05756379292</v>
      </c>
      <c r="N17" s="11">
        <f t="shared" si="8"/>
        <v>0.682259514</v>
      </c>
      <c r="O17" s="11">
        <f t="shared" si="8"/>
        <v>0.8578792069</v>
      </c>
      <c r="P17" s="11">
        <f t="shared" si="8"/>
        <v>0.8902353348</v>
      </c>
      <c r="Q17" s="11">
        <f t="shared" si="8"/>
        <v>0.1925531145</v>
      </c>
      <c r="R17" s="11">
        <f t="shared" si="8"/>
        <v>0.07032861502</v>
      </c>
    </row>
    <row r="18" ht="12.75" customHeight="1">
      <c r="G18" s="9" t="s">
        <v>17</v>
      </c>
      <c r="H18" s="4"/>
      <c r="I18" s="11">
        <f t="shared" ref="I18:R18" si="9">I14/(I13+I14)</f>
        <v>0.08695652174</v>
      </c>
      <c r="J18" s="11">
        <f t="shared" si="9"/>
        <v>0.1005878511</v>
      </c>
      <c r="K18" s="11">
        <f t="shared" si="9"/>
        <v>0.8048983061</v>
      </c>
      <c r="L18" s="11">
        <f t="shared" si="9"/>
        <v>0.9293872275</v>
      </c>
      <c r="M18" s="11">
        <f t="shared" si="9"/>
        <v>0.9424362071</v>
      </c>
      <c r="N18" s="11">
        <f t="shared" si="9"/>
        <v>0.317740486</v>
      </c>
      <c r="O18" s="11">
        <f t="shared" si="9"/>
        <v>0.1421207931</v>
      </c>
      <c r="P18" s="11">
        <f t="shared" si="9"/>
        <v>0.1097646652</v>
      </c>
      <c r="Q18" s="11">
        <f t="shared" si="9"/>
        <v>0.8074468855</v>
      </c>
      <c r="R18" s="11">
        <f t="shared" si="9"/>
        <v>0.929671385</v>
      </c>
    </row>
    <row r="19" ht="12.75" customHeight="1"/>
    <row r="20" ht="12.75" customHeight="1">
      <c r="B20" s="1" t="s">
        <v>26</v>
      </c>
    </row>
    <row r="21" ht="12.75" customHeight="1"/>
    <row r="22" ht="12.75" customHeight="1"/>
    <row r="23" ht="12.75" customHeight="1">
      <c r="B23" s="3" t="s">
        <v>27</v>
      </c>
      <c r="C23" s="3" t="s">
        <v>18</v>
      </c>
      <c r="D23" s="15" t="s">
        <v>28</v>
      </c>
    </row>
    <row r="24" ht="12.75" customHeight="1">
      <c r="B24" s="16">
        <v>0.0</v>
      </c>
      <c r="C24" s="17">
        <f>H7</f>
        <v>1</v>
      </c>
      <c r="D24" s="18">
        <f>H8</f>
        <v>0</v>
      </c>
    </row>
    <row r="25" ht="12.75" customHeight="1">
      <c r="B25" s="16">
        <v>1.0</v>
      </c>
      <c r="C25" s="19">
        <f>I17</f>
        <v>0.9130434783</v>
      </c>
      <c r="D25" s="20">
        <f>I18</f>
        <v>0.08695652174</v>
      </c>
    </row>
    <row r="26" ht="12.75" customHeight="1">
      <c r="B26" s="16">
        <v>2.0</v>
      </c>
      <c r="C26" s="19">
        <f>J17</f>
        <v>0.8994121489</v>
      </c>
      <c r="D26" s="20">
        <f>J18</f>
        <v>0.1005878511</v>
      </c>
    </row>
    <row r="27" ht="12.75" customHeight="1">
      <c r="B27" s="16">
        <v>3.0</v>
      </c>
      <c r="C27" s="19">
        <f>K17</f>
        <v>0.1951016939</v>
      </c>
      <c r="D27" s="20">
        <f>K18</f>
        <v>0.8048983061</v>
      </c>
    </row>
    <row r="28" ht="12.75" customHeight="1">
      <c r="B28" s="16">
        <v>4.0</v>
      </c>
      <c r="C28" s="19">
        <f>L17</f>
        <v>0.07061277252</v>
      </c>
      <c r="D28" s="20">
        <f>L18</f>
        <v>0.9293872275</v>
      </c>
    </row>
    <row r="29" ht="12.75" customHeight="1">
      <c r="B29" s="16">
        <v>5.0</v>
      </c>
      <c r="C29" s="19">
        <f>M17</f>
        <v>0.05756379292</v>
      </c>
      <c r="D29" s="20">
        <f>M18</f>
        <v>0.9424362071</v>
      </c>
    </row>
    <row r="30" ht="12.75" customHeight="1">
      <c r="B30" s="16">
        <v>6.0</v>
      </c>
      <c r="C30" s="19">
        <f>N17</f>
        <v>0.682259514</v>
      </c>
      <c r="D30" s="20">
        <f>N18</f>
        <v>0.317740486</v>
      </c>
    </row>
    <row r="31" ht="12.75" customHeight="1">
      <c r="B31" s="16">
        <v>7.0</v>
      </c>
      <c r="C31" s="19">
        <f>O17</f>
        <v>0.8578792069</v>
      </c>
      <c r="D31" s="20">
        <f>O18</f>
        <v>0.1421207931</v>
      </c>
    </row>
    <row r="32" ht="12.75" customHeight="1">
      <c r="B32" s="16">
        <v>8.0</v>
      </c>
      <c r="C32" s="19">
        <f>P17</f>
        <v>0.8902353348</v>
      </c>
      <c r="D32" s="20">
        <f>P18</f>
        <v>0.1097646652</v>
      </c>
    </row>
    <row r="33" ht="12.75" customHeight="1">
      <c r="B33" s="16">
        <v>9.0</v>
      </c>
      <c r="C33" s="19">
        <f>Q17</f>
        <v>0.1925531145</v>
      </c>
      <c r="D33" s="20">
        <f>Q18</f>
        <v>0.8074468855</v>
      </c>
    </row>
    <row r="34" ht="12.75" customHeight="1">
      <c r="B34" s="16">
        <v>10.0</v>
      </c>
      <c r="C34" s="19">
        <f>R17</f>
        <v>0.07032861502</v>
      </c>
      <c r="D34" s="20">
        <f>R18</f>
        <v>0.929671385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F10:F11"/>
    <mergeCell ref="F13:F14"/>
    <mergeCell ref="F17:F18"/>
    <mergeCell ref="B20:D21"/>
    <mergeCell ref="B2:D3"/>
    <mergeCell ref="F2:R3"/>
    <mergeCell ref="B5:D5"/>
    <mergeCell ref="C6:D6"/>
    <mergeCell ref="F7:F8"/>
    <mergeCell ref="B11:D11"/>
    <mergeCell ref="C12:D12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/>
    <row r="2" ht="12.75" customHeight="1"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 t="s">
        <v>10</v>
      </c>
      <c r="L2" s="21" t="s">
        <v>11</v>
      </c>
      <c r="M2" s="21" t="s">
        <v>12</v>
      </c>
      <c r="N2" s="21" t="s">
        <v>13</v>
      </c>
    </row>
    <row r="3" ht="12.75" customHeight="1">
      <c r="D3" s="21"/>
      <c r="E3" s="21"/>
      <c r="F3" s="21"/>
    </row>
    <row r="4" ht="12.75" customHeight="1">
      <c r="C4" s="2" t="s">
        <v>18</v>
      </c>
      <c r="D4" s="21">
        <v>0.5</v>
      </c>
      <c r="E4" s="21">
        <f>$E$21*D4+$F$21*D5</f>
        <v>0.5</v>
      </c>
      <c r="F4" s="22">
        <f t="shared" ref="F4:G4" si="1">$E$21*E16+$F$21*E17</f>
        <v>0.6272727273</v>
      </c>
      <c r="G4" s="22">
        <f t="shared" si="1"/>
        <v>0.6533428165</v>
      </c>
      <c r="H4" s="22">
        <f t="shared" ref="H4:N4" si="2">$E$21*G4+$F$21*G5</f>
        <v>0.5613371266</v>
      </c>
      <c r="I4" s="22">
        <f t="shared" si="2"/>
        <v>0.5245348506</v>
      </c>
      <c r="J4" s="22">
        <f t="shared" si="2"/>
        <v>0.5098139403</v>
      </c>
      <c r="K4" s="22">
        <f t="shared" si="2"/>
        <v>0.5039255761</v>
      </c>
      <c r="L4" s="22">
        <f t="shared" si="2"/>
        <v>0.5015702304</v>
      </c>
      <c r="M4" s="22">
        <f t="shared" si="2"/>
        <v>0.5006280922</v>
      </c>
      <c r="N4" s="22">
        <f t="shared" si="2"/>
        <v>0.5002512369</v>
      </c>
      <c r="P4" s="2" t="s">
        <v>29</v>
      </c>
    </row>
    <row r="5" ht="12.75" customHeight="1">
      <c r="C5" s="2" t="s">
        <v>17</v>
      </c>
      <c r="D5" s="21">
        <v>0.5</v>
      </c>
      <c r="E5" s="21">
        <f>$E$22*D4+$F$22*D5</f>
        <v>0.5</v>
      </c>
      <c r="F5" s="22">
        <f t="shared" ref="F5:G5" si="3">$E$22*E16+$F$22*E17</f>
        <v>0.3727272727</v>
      </c>
      <c r="G5" s="22">
        <f t="shared" si="3"/>
        <v>0.3466571835</v>
      </c>
      <c r="H5" s="22">
        <f t="shared" ref="H5:N5" si="4">$E$22*G4+$F$22*G5</f>
        <v>0.4386628734</v>
      </c>
      <c r="I5" s="22">
        <f t="shared" si="4"/>
        <v>0.4754651494</v>
      </c>
      <c r="J5" s="22">
        <f t="shared" si="4"/>
        <v>0.4901860597</v>
      </c>
      <c r="K5" s="22">
        <f t="shared" si="4"/>
        <v>0.4960744239</v>
      </c>
      <c r="L5" s="22">
        <f t="shared" si="4"/>
        <v>0.4984297696</v>
      </c>
      <c r="M5" s="22">
        <f t="shared" si="4"/>
        <v>0.4993719078</v>
      </c>
      <c r="N5" s="22">
        <f t="shared" si="4"/>
        <v>0.4997487631</v>
      </c>
    </row>
    <row r="6" ht="12.75" customHeight="1"/>
    <row r="7" ht="12.75" customHeight="1"/>
    <row r="8" ht="12.75" customHeight="1">
      <c r="C8" s="2" t="s">
        <v>20</v>
      </c>
      <c r="E8" s="21">
        <v>1.0</v>
      </c>
      <c r="F8" s="2">
        <v>1.0</v>
      </c>
    </row>
    <row r="9" ht="12.75" customHeight="1">
      <c r="C9" s="2" t="s">
        <v>22</v>
      </c>
      <c r="E9" s="21">
        <v>0.0</v>
      </c>
      <c r="F9" s="2">
        <v>0.0</v>
      </c>
    </row>
    <row r="10" ht="12.75" customHeight="1"/>
    <row r="11" ht="12.75" customHeight="1"/>
    <row r="12" ht="12.75" customHeight="1">
      <c r="B12" s="2" t="s">
        <v>24</v>
      </c>
      <c r="C12" s="2" t="s">
        <v>18</v>
      </c>
      <c r="E12" s="23">
        <f t="shared" ref="E12:F12" si="5">$E$26*E4*E8+$F$26*E4*E9</f>
        <v>0.45</v>
      </c>
      <c r="F12" s="23">
        <f t="shared" si="5"/>
        <v>0.5645454545</v>
      </c>
      <c r="G12" s="23"/>
      <c r="P12" s="2" t="s">
        <v>30</v>
      </c>
    </row>
    <row r="13" ht="12.75" customHeight="1">
      <c r="C13" s="2" t="s">
        <v>17</v>
      </c>
      <c r="E13" s="23">
        <f t="shared" ref="E13:F13" si="6">$E$27*E5*E8+$F$27*E5*E9</f>
        <v>0.1</v>
      </c>
      <c r="F13" s="23">
        <f t="shared" si="6"/>
        <v>0.07454545455</v>
      </c>
      <c r="G13" s="23"/>
    </row>
    <row r="14" ht="12.75" customHeight="1">
      <c r="F14" s="23"/>
      <c r="G14" s="23"/>
    </row>
    <row r="15" ht="12.75" customHeight="1"/>
    <row r="16" ht="12.75" customHeight="1">
      <c r="B16" s="2" t="s">
        <v>25</v>
      </c>
      <c r="C16" s="2" t="s">
        <v>18</v>
      </c>
      <c r="E16" s="23">
        <f t="shared" ref="E16:F16" si="7">E12/(E12+E13)</f>
        <v>0.8181818182</v>
      </c>
      <c r="F16" s="23">
        <f t="shared" si="7"/>
        <v>0.8833570413</v>
      </c>
      <c r="G16" s="23"/>
    </row>
    <row r="17" ht="12.75" customHeight="1">
      <c r="C17" s="2" t="s">
        <v>17</v>
      </c>
      <c r="E17" s="23">
        <f t="shared" ref="E17:F17" si="8">E13/(E12+E13)</f>
        <v>0.1818181818</v>
      </c>
      <c r="F17" s="23">
        <f t="shared" si="8"/>
        <v>0.1166429587</v>
      </c>
      <c r="G17" s="23"/>
    </row>
    <row r="18" ht="12.75" customHeight="1"/>
    <row r="19" ht="12.75" customHeight="1">
      <c r="E19" s="2" t="s">
        <v>14</v>
      </c>
    </row>
    <row r="20" ht="12.75" customHeight="1">
      <c r="D20" s="2" t="s">
        <v>15</v>
      </c>
      <c r="E20" s="2" t="s">
        <v>16</v>
      </c>
      <c r="F20" s="2" t="s">
        <v>17</v>
      </c>
    </row>
    <row r="21" ht="12.75" customHeight="1">
      <c r="D21" s="2" t="s">
        <v>18</v>
      </c>
      <c r="E21" s="21">
        <v>0.7</v>
      </c>
      <c r="F21" s="21">
        <f t="shared" ref="F21:F22" si="9">1-E21</f>
        <v>0.3</v>
      </c>
    </row>
    <row r="22" ht="12.75" customHeight="1">
      <c r="D22" s="2" t="s">
        <v>17</v>
      </c>
      <c r="E22" s="21">
        <v>0.30000000000000004</v>
      </c>
      <c r="F22" s="21">
        <f t="shared" si="9"/>
        <v>0.7</v>
      </c>
    </row>
    <row r="23" ht="12.75" customHeight="1"/>
    <row r="24" ht="12.75" customHeight="1">
      <c r="E24" s="2" t="s">
        <v>23</v>
      </c>
    </row>
    <row r="25" ht="12.75" customHeight="1">
      <c r="D25" s="2" t="s">
        <v>14</v>
      </c>
      <c r="E25" s="2" t="s">
        <v>20</v>
      </c>
      <c r="F25" s="2" t="s">
        <v>22</v>
      </c>
    </row>
    <row r="26" ht="12.75" customHeight="1">
      <c r="D26" s="2" t="s">
        <v>18</v>
      </c>
      <c r="E26" s="21">
        <v>0.9</v>
      </c>
      <c r="F26" s="21">
        <f t="shared" ref="F26:F27" si="10">1-E26</f>
        <v>0.1</v>
      </c>
    </row>
    <row r="27" ht="12.75" customHeight="1">
      <c r="D27" s="2" t="s">
        <v>17</v>
      </c>
      <c r="E27" s="21">
        <v>0.2</v>
      </c>
      <c r="F27" s="21">
        <f t="shared" si="10"/>
        <v>0.8</v>
      </c>
    </row>
    <row r="28" ht="12.75" customHeight="1"/>
    <row r="29" ht="12.75" customHeight="1"/>
    <row r="30" ht="12.75" customHeight="1">
      <c r="B30" s="2" t="s">
        <v>24</v>
      </c>
      <c r="C30" s="2" t="s">
        <v>18</v>
      </c>
      <c r="E30" s="23">
        <f t="shared" ref="E30:F30" si="11">E16*E38</f>
        <v>0.5645454545</v>
      </c>
      <c r="F30" s="23">
        <f t="shared" si="11"/>
        <v>0.8833570413</v>
      </c>
      <c r="P30" s="2" t="s">
        <v>31</v>
      </c>
    </row>
    <row r="31" ht="12.75" customHeight="1">
      <c r="C31" s="2" t="s">
        <v>17</v>
      </c>
      <c r="E31" s="23">
        <f t="shared" ref="E31:F31" si="12">E17*E39</f>
        <v>0.07454545455</v>
      </c>
      <c r="F31" s="23">
        <f t="shared" si="12"/>
        <v>0.1166429587</v>
      </c>
    </row>
    <row r="32" ht="12.75" customHeight="1"/>
    <row r="33" ht="12.75" customHeight="1"/>
    <row r="34" ht="12.75" customHeight="1">
      <c r="B34" s="2" t="s">
        <v>25</v>
      </c>
      <c r="C34" s="2" t="s">
        <v>18</v>
      </c>
      <c r="E34" s="23">
        <f t="shared" ref="E34:F34" si="13">E30/(E30+E31)</f>
        <v>0.8833570413</v>
      </c>
      <c r="F34" s="23">
        <f t="shared" si="13"/>
        <v>0.8833570413</v>
      </c>
    </row>
    <row r="35" ht="12.75" customHeight="1">
      <c r="C35" s="2" t="s">
        <v>17</v>
      </c>
      <c r="E35" s="23">
        <f t="shared" ref="E35:F35" si="14">E31/(E30+E31)</f>
        <v>0.1166429587</v>
      </c>
      <c r="F35" s="23">
        <f t="shared" si="14"/>
        <v>0.1166429587</v>
      </c>
    </row>
    <row r="36" ht="12.75" customHeight="1"/>
    <row r="37" ht="12.75" customHeight="1"/>
    <row r="38" ht="12.75" customHeight="1">
      <c r="B38" s="2" t="s">
        <v>32</v>
      </c>
      <c r="C38" s="2" t="s">
        <v>18</v>
      </c>
      <c r="E38" s="2">
        <f>($E$26*F38*$E$21+$E$27*F39*$E$22)*E8+($F$26*F38*$E$21+$F$27*F39*$E$22)*E9</f>
        <v>0.69</v>
      </c>
      <c r="F38" s="2">
        <v>1.0</v>
      </c>
      <c r="P38" s="2" t="s">
        <v>33</v>
      </c>
    </row>
    <row r="39" ht="12.75" customHeight="1">
      <c r="C39" s="2" t="s">
        <v>17</v>
      </c>
      <c r="E39" s="2">
        <f>($E$26*F38*$F$21+$E$27*F39*$F$22)*E8+($F$26*F38*$F$21+$F$27*F39*$F$22)*E9</f>
        <v>0.41</v>
      </c>
      <c r="F39" s="2">
        <v>1.0</v>
      </c>
    </row>
    <row r="40" ht="12.75" customHeight="1"/>
    <row r="41" ht="12.75" customHeight="1"/>
    <row r="42" ht="12.75" customHeight="1">
      <c r="B42" s="2" t="s">
        <v>25</v>
      </c>
      <c r="C42" s="2" t="s">
        <v>18</v>
      </c>
      <c r="E42" s="23">
        <f t="shared" ref="E42:F42" si="15">E38/(E38+E39)</f>
        <v>0.6272727273</v>
      </c>
      <c r="F42" s="23">
        <f t="shared" si="15"/>
        <v>0.5</v>
      </c>
    </row>
    <row r="43" ht="12.75" customHeight="1">
      <c r="C43" s="2" t="s">
        <v>17</v>
      </c>
      <c r="E43" s="23">
        <f t="shared" ref="E43:F43" si="16">E39/(E38+E39)</f>
        <v>0.3727272727</v>
      </c>
      <c r="F43" s="23">
        <f t="shared" si="16"/>
        <v>0.5</v>
      </c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2023-04-04T21:33:38Z</dcterms:created>
  <dc:creator>teacher</dc:creator>
</cp:coreProperties>
</file>